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off-my.sharepoint.com/personal/erchof08152_stud_noroff_no/Documents/Business Analytics/"/>
    </mc:Choice>
  </mc:AlternateContent>
  <xr:revisionPtr revIDLastSave="263" documentId="8_{3D3DAC26-311F-7747-802B-3DB98F5FFB96}" xr6:coauthVersionLast="47" xr6:coauthVersionMax="47" xr10:uidLastSave="{1BB2606D-9498-5F45-8CF9-CF26B2147633}"/>
  <bookViews>
    <workbookView xWindow="34380" yWindow="600" windowWidth="34400" windowHeight="26400" activeTab="3" xr2:uid="{36014DBE-22AF-184D-8B26-082C2B742C9F}"/>
  </bookViews>
  <sheets>
    <sheet name="sales_import" sheetId="3" r:id="rId1"/>
    <sheet name="Sales Data" sheetId="1" r:id="rId2"/>
    <sheet name="Products" sheetId="2" r:id="rId3"/>
    <sheet name="Dashboard" sheetId="4" r:id="rId4"/>
  </sheets>
  <definedNames>
    <definedName name="_xlchart.v2.0" hidden="1">'Sales Data'!$E$2:$E$6</definedName>
    <definedName name="_xlchart.v2.1" hidden="1">'Sales Data'!$I$2:$I$6</definedName>
    <definedName name="ExternalData_1" localSheetId="0" hidden="1">sales_import!$A$1:$F$5</definedName>
    <definedName name="RevenueRange">Table1[Revenue]</definedName>
    <definedName name="TotalRevenue">'Sales Data'!$O$2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4" l="1"/>
  <c r="A4" i="4"/>
  <c r="E4" i="4"/>
  <c r="C4" i="4"/>
  <c r="I3" i="1"/>
  <c r="I4" i="1"/>
  <c r="I5" i="1"/>
  <c r="K5" i="1" s="1"/>
  <c r="I6" i="1"/>
  <c r="K3" i="1"/>
  <c r="K4" i="1"/>
  <c r="K6" i="1"/>
  <c r="L3" i="1"/>
  <c r="L4" i="1"/>
  <c r="L6" i="1"/>
  <c r="H3" i="1"/>
  <c r="H4" i="1"/>
  <c r="H5" i="1"/>
  <c r="H6" i="1"/>
  <c r="H2" i="1"/>
  <c r="I2" i="1"/>
  <c r="D3" i="1"/>
  <c r="D4" i="1"/>
  <c r="D5" i="1"/>
  <c r="D6" i="1"/>
  <c r="D2" i="1"/>
  <c r="L5" i="1" l="1"/>
  <c r="P2" i="1"/>
  <c r="K2" i="1"/>
  <c r="L2" i="1"/>
  <c r="O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6B6DEE-8332-A74B-AC8D-E38795E124E2}" keepAlive="1" name="Query - sales_import" description="Connection to the 'sales_import' query in the workbook." type="5" refreshedVersion="8" background="1" saveData="1">
    <dbPr connection="Provider=Microsoft.Mashup.OleDb.1;Data Source=$Workbook$;Location=sales_import;Extended Properties=&quot;&quot;" command="SELECT * FROM [sales_import]"/>
  </connection>
</connections>
</file>

<file path=xl/sharedStrings.xml><?xml version="1.0" encoding="utf-8"?>
<sst xmlns="http://schemas.openxmlformats.org/spreadsheetml/2006/main" count="72" uniqueCount="51">
  <si>
    <t>Date</t>
  </si>
  <si>
    <t>Order ID</t>
  </si>
  <si>
    <t>Product</t>
  </si>
  <si>
    <t>Category</t>
  </si>
  <si>
    <t>Region</t>
  </si>
  <si>
    <t>Salesperson</t>
  </si>
  <si>
    <t>Units Sold</t>
  </si>
  <si>
    <t>Unit price</t>
  </si>
  <si>
    <t>Revenue</t>
  </si>
  <si>
    <t>Cost</t>
  </si>
  <si>
    <t>Profit</t>
  </si>
  <si>
    <t>ORD001</t>
  </si>
  <si>
    <t>Laptop</t>
  </si>
  <si>
    <t>Electronics</t>
  </si>
  <si>
    <t>Oslo</t>
  </si>
  <si>
    <t>Anna</t>
  </si>
  <si>
    <t>ORD002</t>
  </si>
  <si>
    <t>Monitor</t>
  </si>
  <si>
    <t>Bergen</t>
  </si>
  <si>
    <t>Erik</t>
  </si>
  <si>
    <t>ORD003</t>
  </si>
  <si>
    <t>ORD004</t>
  </si>
  <si>
    <t>ORD005</t>
  </si>
  <si>
    <t>Office Chair</t>
  </si>
  <si>
    <t>Furniture</t>
  </si>
  <si>
    <t>Maria</t>
  </si>
  <si>
    <t>Keybord</t>
  </si>
  <si>
    <t>Desk</t>
  </si>
  <si>
    <t>Trondheim</t>
  </si>
  <si>
    <t>Lars</t>
  </si>
  <si>
    <t>Stavanger</t>
  </si>
  <si>
    <t>Taks Amount</t>
  </si>
  <si>
    <t>Taks Rate</t>
  </si>
  <si>
    <t>Total Revenue</t>
  </si>
  <si>
    <t>Average Revenue</t>
  </si>
  <si>
    <t xml:space="preserve">Unit Price </t>
  </si>
  <si>
    <t>OrderID</t>
  </si>
  <si>
    <t>UnitsSold</t>
  </si>
  <si>
    <t>UnitPrice</t>
  </si>
  <si>
    <t>ORD006</t>
  </si>
  <si>
    <t>Mouse</t>
  </si>
  <si>
    <t>ORD007</t>
  </si>
  <si>
    <t>Webcam</t>
  </si>
  <si>
    <t>ORD008</t>
  </si>
  <si>
    <t>Headset</t>
  </si>
  <si>
    <t>ORD009</t>
  </si>
  <si>
    <t>Printer</t>
  </si>
  <si>
    <t>Sales Analysis Dashboard</t>
  </si>
  <si>
    <t>Total Profit</t>
  </si>
  <si>
    <t>Total Units Sold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</si>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</sst>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r&quot;\ #,##0.00"/>
  </numFmts>
  <fonts count="6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6"/>
      <color rgb="FF000000"/>
      <name val="Aptos Narrow (Body)"/>
    </font>
    <font>
      <sz val="12"/>
      <color theme="1"/>
      <name val=".AppleSystemUIFontMonospaced"/>
    </font>
    <font>
      <b/>
      <sz val="12"/>
      <color theme="1"/>
      <name val="Aptos Narrow"/>
      <scheme val="minor"/>
    </font>
    <font>
      <b/>
      <sz val="12"/>
      <color theme="1"/>
      <name val=".AppleSystemUIFontMonospaced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4" fillId="2" borderId="1" xfId="0" applyFont="1" applyFill="1" applyBorder="1" applyAlignment="1">
      <alignment horizontal="center"/>
    </xf>
    <xf numFmtId="164" fontId="3" fillId="2" borderId="2" xfId="0" applyNumberFormat="1" applyFont="1" applyFill="1" applyBorder="1"/>
    <xf numFmtId="0" fontId="5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&quot;kr&quot;\ #,##0.00"/>
    </dxf>
    <dxf>
      <numFmt numFmtId="164" formatCode="&quot;kr&quot;\ #,##0.00"/>
    </dxf>
    <dxf>
      <numFmt numFmtId="164" formatCode="&quot;kr&quot;\ #,##0.00"/>
    </dxf>
    <dxf>
      <numFmt numFmtId="164" formatCode="&quot;kr&quot;\ #,##0.00"/>
    </dxf>
    <dxf>
      <numFmt numFmtId="164" formatCode="&quot;kr&quot;\ #,##0.00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by Product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Data'!$C$2:$C$6</c:f>
              <c:strCache>
                <c:ptCount val="5"/>
                <c:pt idx="0">
                  <c:v>Laptop</c:v>
                </c:pt>
                <c:pt idx="1">
                  <c:v>Monitor</c:v>
                </c:pt>
                <c:pt idx="2">
                  <c:v>Office Chair</c:v>
                </c:pt>
                <c:pt idx="3">
                  <c:v>Desk</c:v>
                </c:pt>
                <c:pt idx="4">
                  <c:v>Keybord</c:v>
                </c:pt>
              </c:strCache>
            </c:strRef>
          </c:cat>
          <c:val>
            <c:numRef>
              <c:f>'Sales Data'!$I$2:$I$6</c:f>
              <c:numCache>
                <c:formatCode>"kr"\ #\ ##0.00</c:formatCode>
                <c:ptCount val="5"/>
                <c:pt idx="0">
                  <c:v>3600</c:v>
                </c:pt>
                <c:pt idx="1">
                  <c:v>1750</c:v>
                </c:pt>
                <c:pt idx="2">
                  <c:v>1120</c:v>
                </c:pt>
                <c:pt idx="3">
                  <c:v>900</c:v>
                </c:pt>
                <c:pt idx="4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C-4846-AFFE-21D6742B3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800959"/>
        <c:axId val="357808127"/>
      </c:barChart>
      <c:catAx>
        <c:axId val="35780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357808127"/>
        <c:crosses val="autoZero"/>
        <c:auto val="1"/>
        <c:lblAlgn val="ctr"/>
        <c:lblOffset val="100"/>
        <c:noMultiLvlLbl val="0"/>
      </c:catAx>
      <c:valAx>
        <c:axId val="35780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r&quot;\ 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35780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</a:t>
            </a:r>
            <a:r>
              <a:rPr lang="en-GB" baseline="0"/>
              <a:t>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Data'!$C$2:$C$6</c:f>
              <c:strCache>
                <c:ptCount val="5"/>
                <c:pt idx="0">
                  <c:v>Laptop</c:v>
                </c:pt>
                <c:pt idx="1">
                  <c:v>Monitor</c:v>
                </c:pt>
                <c:pt idx="2">
                  <c:v>Office Chair</c:v>
                </c:pt>
                <c:pt idx="3">
                  <c:v>Desk</c:v>
                </c:pt>
                <c:pt idx="4">
                  <c:v>Keybord</c:v>
                </c:pt>
              </c:strCache>
            </c:strRef>
          </c:cat>
          <c:val>
            <c:numRef>
              <c:f>'Sales Data'!$K$2:$K$6</c:f>
              <c:numCache>
                <c:formatCode>"kr"\ #\ ##0.00</c:formatCode>
                <c:ptCount val="5"/>
                <c:pt idx="0">
                  <c:v>1200</c:v>
                </c:pt>
                <c:pt idx="1">
                  <c:v>650</c:v>
                </c:pt>
                <c:pt idx="2">
                  <c:v>420</c:v>
                </c:pt>
                <c:pt idx="3">
                  <c:v>300</c:v>
                </c:pt>
                <c:pt idx="4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8-A54C-800B-5B7B8B7A2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8305279"/>
        <c:axId val="366768831"/>
      </c:barChart>
      <c:catAx>
        <c:axId val="35830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366768831"/>
        <c:crosses val="autoZero"/>
        <c:auto val="1"/>
        <c:lblAlgn val="ctr"/>
        <c:lblOffset val="100"/>
        <c:noMultiLvlLbl val="0"/>
      </c:catAx>
      <c:valAx>
        <c:axId val="36676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r&quot;\ 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35830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by Region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Data'!$E$2:$E$6</c:f>
              <c:strCache>
                <c:ptCount val="5"/>
                <c:pt idx="0">
                  <c:v>Oslo</c:v>
                </c:pt>
                <c:pt idx="1">
                  <c:v>Bergen</c:v>
                </c:pt>
                <c:pt idx="2">
                  <c:v>Oslo</c:v>
                </c:pt>
                <c:pt idx="3">
                  <c:v>Stavanger</c:v>
                </c:pt>
                <c:pt idx="4">
                  <c:v>Trondheim</c:v>
                </c:pt>
              </c:strCache>
            </c:strRef>
          </c:cat>
          <c:val>
            <c:numRef>
              <c:f>'Sales Data'!$I$2:$I$6</c:f>
              <c:numCache>
                <c:formatCode>"kr"\ #\ ##0.00</c:formatCode>
                <c:ptCount val="5"/>
                <c:pt idx="0">
                  <c:v>3600</c:v>
                </c:pt>
                <c:pt idx="1">
                  <c:v>1750</c:v>
                </c:pt>
                <c:pt idx="2">
                  <c:v>1120</c:v>
                </c:pt>
                <c:pt idx="3">
                  <c:v>900</c:v>
                </c:pt>
                <c:pt idx="4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C-7547-80AD-D933D8711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2449151"/>
        <c:axId val="372448255"/>
      </c:barChart>
      <c:catAx>
        <c:axId val="372449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372448255"/>
        <c:crosses val="autoZero"/>
        <c:auto val="1"/>
        <c:lblAlgn val="ctr"/>
        <c:lblOffset val="100"/>
        <c:noMultiLvlLbl val="0"/>
      </c:catAx>
      <c:valAx>
        <c:axId val="37244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r&quot;\ 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37244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63500</xdr:rowOff>
    </xdr:from>
    <xdr:to>
      <xdr:col>6</xdr:col>
      <xdr:colOff>1270000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C6B1E2-948D-4D47-82DA-4366A5887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1409700</xdr:colOff>
      <xdr:row>6</xdr:row>
      <xdr:rowOff>38100</xdr:rowOff>
    </xdr:from>
    <xdr:to>
      <xdr:col>13</xdr:col>
      <xdr:colOff>355600</xdr:colOff>
      <xdr:row>21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4A1CB2-D058-9647-A6C9-0EE67D3D3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673100</xdr:colOff>
      <xdr:row>6</xdr:row>
      <xdr:rowOff>0</xdr:rowOff>
    </xdr:from>
    <xdr:to>
      <xdr:col>21</xdr:col>
      <xdr:colOff>114300</xdr:colOff>
      <xdr:row>21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BB09B5-EF22-B344-8308-1A0EE92F1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6D409B-26AB-774E-87BF-048FB374DF08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rderID" tableColumnId="2"/>
      <queryTableField id="3" name="Product" tableColumnId="3"/>
      <queryTableField id="4" name="Region" tableColumnId="4"/>
      <queryTableField id="5" name="UnitsSold" tableColumnId="5"/>
      <queryTableField id="6" name="UnitPri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03CC0A-1444-7D4E-8F4C-9CB2060B81BA}" name="sales_import" displayName="sales_import" ref="A1:F5" tableType="queryTable" totalsRowShown="0">
  <autoFilter ref="A1:F5" xr:uid="{9D03CC0A-1444-7D4E-8F4C-9CB2060B81BA}"/>
  <tableColumns count="6">
    <tableColumn id="1" xr3:uid="{F776911E-7273-024C-B6EA-8BE8C3738AA6}" uniqueName="1" name="Date" queryTableFieldId="1" dataDxfId="3"/>
    <tableColumn id="2" xr3:uid="{17BEBDAF-7D46-374B-944E-BDD471630FBD}" uniqueName="2" name="OrderID" queryTableFieldId="2" dataDxfId="2"/>
    <tableColumn id="3" xr3:uid="{18D86158-D6FF-E943-AE39-5E35CE16E262}" uniqueName="3" name="Product" queryTableFieldId="3" dataDxfId="1"/>
    <tableColumn id="4" xr3:uid="{542B8171-C22D-9A47-86DA-C2364C69D2DA}" uniqueName="4" name="Region" queryTableFieldId="4" dataDxfId="0"/>
    <tableColumn id="5" xr3:uid="{45EBA154-4179-4340-8B94-53847FB006FE}" uniqueName="5" name="UnitsSold" queryTableFieldId="5"/>
    <tableColumn id="6" xr3:uid="{E56BC1D3-974A-794D-8AA2-8D923E2067B0}" uniqueName="6" name="UnitPric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9D7245-4827-A042-BD29-6B9DE4D997EB}" name="Table1" displayName="Table1" ref="A1:M6" totalsRowShown="0">
  <autoFilter ref="A1:M6" xr:uid="{1B9D7245-4827-A042-BD29-6B9DE4D997EB}"/>
  <sortState xmlns:xlrd2="http://schemas.microsoft.com/office/spreadsheetml/2017/richdata2" ref="A2:M6">
    <sortCondition descending="1" ref="I1:I6"/>
  </sortState>
  <tableColumns count="13">
    <tableColumn id="1" xr3:uid="{73371399-9C04-274C-84A2-4CD37F82E31C}" name="Date" dataDxfId="10"/>
    <tableColumn id="2" xr3:uid="{2DACB8EE-1D46-6B40-B50A-1624DBB00187}" name="Order ID"/>
    <tableColumn id="3" xr3:uid="{FEBAF204-9320-E344-8170-24F1D1DBB1A0}" name="Product"/>
    <tableColumn id="4" xr3:uid="{31AA2323-2C72-6B46-9790-576FFB6614FE}" name="Category" dataDxfId="9">
      <calculatedColumnFormula>_xlfn.XLOOKUP(C2,Products!$A$2:$A$6,Products!$B$2:$B$6)</calculatedColumnFormula>
    </tableColumn>
    <tableColumn id="5" xr3:uid="{87A5F555-E400-6C4F-A3BC-A41B4ACFC3E4}" name="Region"/>
    <tableColumn id="6" xr3:uid="{B8C7AC61-C1F4-A240-A85A-30B4B4B1B7E0}" name="Salesperson"/>
    <tableColumn id="7" xr3:uid="{7838B6E1-D5CB-284C-BEC4-C1AF48151CF7}" name="Units Sold"/>
    <tableColumn id="8" xr3:uid="{87769928-708D-6541-A087-BF4F617DAA96}" name="Unit price" dataDxfId="8">
      <calculatedColumnFormula>_xlfn.XLOOKUP(C2,Products!$A$2:$A$6,Products!$C$2:$C$6)</calculatedColumnFormula>
    </tableColumn>
    <tableColumn id="9" xr3:uid="{147FEDA2-1AEB-D343-A2A3-408DD88A7A89}" name="Revenue" dataDxfId="7">
      <calculatedColumnFormula>G2*H2</calculatedColumnFormula>
    </tableColumn>
    <tableColumn id="10" xr3:uid="{7C6FBC15-EBD6-3848-9E90-80B6C8836999}" name="Cost" dataDxfId="6"/>
    <tableColumn id="11" xr3:uid="{283B607A-6CFB-214F-AE36-E4DA6CD1411D}" name="Profit" dataDxfId="5">
      <calculatedColumnFormula>I2-J2</calculatedColumnFormula>
    </tableColumn>
    <tableColumn id="12" xr3:uid="{B249BF8E-B77E-1E4A-8011-322DD1F1DD29}" name="Taks Amount" dataDxfId="4">
      <calculatedColumnFormula>I2*$M$2</calculatedColumnFormula>
    </tableColumn>
    <tableColumn id="13" xr3:uid="{1C10EF10-824E-8845-83CB-133D281BAC80}" name="Taks 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BE885-A81F-BD4B-9D0F-3661595E50EC}">
  <dimension ref="A1:F5"/>
  <sheetViews>
    <sheetView workbookViewId="0"/>
  </sheetViews>
  <sheetFormatPr baseColWidth="10" defaultRowHeight="16"/>
  <cols>
    <col min="1" max="1" width="10.5" bestFit="1" customWidth="1"/>
    <col min="2" max="3" width="10.1640625" bestFit="1" customWidth="1"/>
    <col min="4" max="4" width="9.6640625" bestFit="1" customWidth="1"/>
    <col min="5" max="5" width="11.5" bestFit="1" customWidth="1"/>
    <col min="6" max="6" width="11.33203125" bestFit="1" customWidth="1"/>
  </cols>
  <sheetData>
    <row r="1" spans="1:6">
      <c r="A1" t="s">
        <v>0</v>
      </c>
      <c r="B1" t="s">
        <v>36</v>
      </c>
      <c r="C1" t="s">
        <v>2</v>
      </c>
      <c r="D1" t="s">
        <v>4</v>
      </c>
      <c r="E1" t="s">
        <v>37</v>
      </c>
      <c r="F1" t="s">
        <v>38</v>
      </c>
    </row>
    <row r="2" spans="1:6">
      <c r="A2" s="1">
        <v>46254</v>
      </c>
      <c r="B2" t="s">
        <v>39</v>
      </c>
      <c r="C2" t="s">
        <v>40</v>
      </c>
      <c r="D2" t="s">
        <v>14</v>
      </c>
      <c r="E2">
        <v>8</v>
      </c>
      <c r="F2">
        <v>250</v>
      </c>
    </row>
    <row r="3" spans="1:6">
      <c r="A3" s="1">
        <v>46255</v>
      </c>
      <c r="B3" t="s">
        <v>41</v>
      </c>
      <c r="C3" t="s">
        <v>42</v>
      </c>
      <c r="D3" t="s">
        <v>18</v>
      </c>
      <c r="E3">
        <v>5</v>
      </c>
      <c r="F3">
        <v>600</v>
      </c>
    </row>
    <row r="4" spans="1:6">
      <c r="A4" s="1">
        <v>46256</v>
      </c>
      <c r="B4" t="s">
        <v>43</v>
      </c>
      <c r="C4" t="s">
        <v>44</v>
      </c>
      <c r="D4" t="s">
        <v>28</v>
      </c>
      <c r="E4">
        <v>6</v>
      </c>
      <c r="F4">
        <v>450</v>
      </c>
    </row>
    <row r="5" spans="1:6">
      <c r="A5" s="1">
        <v>46257</v>
      </c>
      <c r="B5" t="s">
        <v>45</v>
      </c>
      <c r="C5" t="s">
        <v>46</v>
      </c>
      <c r="D5" t="s">
        <v>30</v>
      </c>
      <c r="E5">
        <v>2</v>
      </c>
      <c r="F5">
        <v>1800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D9BB1-F40D-1B44-B5B9-E8790DB9E75F}">
  <dimension ref="A1:P6"/>
  <sheetViews>
    <sheetView workbookViewId="0">
      <selection activeCell="N15" sqref="N15"/>
    </sheetView>
  </sheetViews>
  <sheetFormatPr baseColWidth="10" defaultRowHeight="16"/>
  <cols>
    <col min="4" max="4" width="11" customWidth="1"/>
    <col min="6" max="6" width="13.6640625" customWidth="1"/>
    <col min="7" max="7" width="11.6640625" customWidth="1"/>
    <col min="8" max="8" width="11.33203125" customWidth="1"/>
    <col min="12" max="12" width="14.1640625" customWidth="1"/>
    <col min="13" max="13" width="11.5" customWidth="1"/>
    <col min="15" max="15" width="12.5" bestFit="1" customWidth="1"/>
    <col min="16" max="16" width="14.832031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31</v>
      </c>
      <c r="M1" s="2" t="s">
        <v>32</v>
      </c>
      <c r="O1" t="s">
        <v>33</v>
      </c>
      <c r="P1" t="s">
        <v>34</v>
      </c>
    </row>
    <row r="2" spans="1:16">
      <c r="A2" s="1">
        <v>46235</v>
      </c>
      <c r="B2" t="s">
        <v>11</v>
      </c>
      <c r="C2" t="s">
        <v>12</v>
      </c>
      <c r="D2" t="str">
        <f>_xlfn.XLOOKUP(C2,Products!$A$2:$A$6,Products!$B$2:$B$6)</f>
        <v>Electronics</v>
      </c>
      <c r="E2" t="s">
        <v>14</v>
      </c>
      <c r="F2" t="s">
        <v>15</v>
      </c>
      <c r="G2">
        <v>3</v>
      </c>
      <c r="H2" s="3">
        <f>_xlfn.XLOOKUP(C2,Products!$A$2:$A$6,Products!$C$2:$C$6)</f>
        <v>1200</v>
      </c>
      <c r="I2" s="3">
        <f>G2*H2</f>
        <v>3600</v>
      </c>
      <c r="J2" s="3">
        <v>2400</v>
      </c>
      <c r="K2" s="3">
        <f>I2-J2</f>
        <v>1200</v>
      </c>
      <c r="L2" s="3">
        <f>I2*$M$2</f>
        <v>900</v>
      </c>
      <c r="M2" s="2">
        <v>0.25</v>
      </c>
      <c r="O2">
        <f>SUM(I2:I6)</f>
        <v>8120</v>
      </c>
      <c r="P2">
        <f>AVERAGE(I2:I6)</f>
        <v>1624</v>
      </c>
    </row>
    <row r="3" spans="1:16">
      <c r="A3" s="1">
        <v>46237</v>
      </c>
      <c r="B3" t="s">
        <v>16</v>
      </c>
      <c r="C3" t="s">
        <v>17</v>
      </c>
      <c r="D3" t="str">
        <f>_xlfn.XLOOKUP(C3,Products!$A$2:$A$6,Products!$B$2:$B$6)</f>
        <v>Electronics</v>
      </c>
      <c r="E3" t="s">
        <v>18</v>
      </c>
      <c r="F3" t="s">
        <v>19</v>
      </c>
      <c r="G3">
        <v>5</v>
      </c>
      <c r="H3" s="3">
        <f>_xlfn.XLOOKUP(C3,Products!$A$2:$A$6,Products!$C$2:$C$6)</f>
        <v>350</v>
      </c>
      <c r="I3" s="3">
        <f t="shared" ref="I3:I6" si="0">G3*H3</f>
        <v>1750</v>
      </c>
      <c r="J3" s="3">
        <v>1100</v>
      </c>
      <c r="K3" s="3">
        <f t="shared" ref="K3:K6" si="1">I3-J3</f>
        <v>650</v>
      </c>
      <c r="L3" s="3">
        <f t="shared" ref="L3:L6" si="2">I3*$M$2</f>
        <v>437.5</v>
      </c>
    </row>
    <row r="4" spans="1:16">
      <c r="A4" s="1">
        <v>46239</v>
      </c>
      <c r="B4" t="s">
        <v>20</v>
      </c>
      <c r="C4" t="s">
        <v>23</v>
      </c>
      <c r="D4" t="str">
        <f>_xlfn.XLOOKUP(C4,Products!$A$2:$A$6,Products!$B$2:$B$6)</f>
        <v>Furniture</v>
      </c>
      <c r="E4" t="s">
        <v>14</v>
      </c>
      <c r="F4" t="s">
        <v>25</v>
      </c>
      <c r="G4">
        <v>4</v>
      </c>
      <c r="H4" s="3">
        <f>_xlfn.XLOOKUP(C4,Products!$A$2:$A$6,Products!$C$2:$C$6)</f>
        <v>280</v>
      </c>
      <c r="I4" s="3">
        <f t="shared" si="0"/>
        <v>1120</v>
      </c>
      <c r="J4" s="3">
        <v>700</v>
      </c>
      <c r="K4" s="3">
        <f t="shared" si="1"/>
        <v>420</v>
      </c>
      <c r="L4" s="3">
        <f t="shared" si="2"/>
        <v>280</v>
      </c>
    </row>
    <row r="5" spans="1:16">
      <c r="A5" s="1">
        <v>46244</v>
      </c>
      <c r="B5" t="s">
        <v>22</v>
      </c>
      <c r="C5" t="s">
        <v>27</v>
      </c>
      <c r="D5" t="str">
        <f>_xlfn.XLOOKUP(C5,Products!$A$2:$A$6,Products!$B$2:$B$6)</f>
        <v>Furniture</v>
      </c>
      <c r="E5" t="s">
        <v>30</v>
      </c>
      <c r="F5" t="s">
        <v>15</v>
      </c>
      <c r="G5">
        <v>2</v>
      </c>
      <c r="H5" s="3">
        <f>_xlfn.XLOOKUP(C5,Products!$A$2:$A$6,Products!$C$2:$C$6)</f>
        <v>450</v>
      </c>
      <c r="I5" s="3">
        <f t="shared" si="0"/>
        <v>900</v>
      </c>
      <c r="J5" s="3">
        <v>600</v>
      </c>
      <c r="K5" s="3">
        <f t="shared" si="1"/>
        <v>300</v>
      </c>
      <c r="L5" s="3">
        <f t="shared" si="2"/>
        <v>225</v>
      </c>
    </row>
    <row r="6" spans="1:16">
      <c r="A6" s="1">
        <v>46241</v>
      </c>
      <c r="B6" t="s">
        <v>21</v>
      </c>
      <c r="C6" t="s">
        <v>26</v>
      </c>
      <c r="D6" t="str">
        <f>_xlfn.XLOOKUP(C6,Products!$A$2:$A$6,Products!$B$2:$B$6)</f>
        <v>Electronics</v>
      </c>
      <c r="E6" t="s">
        <v>28</v>
      </c>
      <c r="F6" t="s">
        <v>29</v>
      </c>
      <c r="G6">
        <v>10</v>
      </c>
      <c r="H6" s="3">
        <f>_xlfn.XLOOKUP(C6,Products!$A$2:$A$6,Products!$C$2:$C$6)</f>
        <v>75</v>
      </c>
      <c r="I6" s="3">
        <f t="shared" si="0"/>
        <v>750</v>
      </c>
      <c r="J6" s="3">
        <v>400</v>
      </c>
      <c r="K6" s="3">
        <f t="shared" si="1"/>
        <v>350</v>
      </c>
      <c r="L6" s="3">
        <f t="shared" si="2"/>
        <v>187.5</v>
      </c>
    </row>
  </sheetData>
  <conditionalFormatting sqref="K2:K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B50F-7000-E34A-B87B-516144B5FC1A}">
  <dimension ref="A1:C6"/>
  <sheetViews>
    <sheetView workbookViewId="0">
      <selection activeCell="C13" sqref="C13"/>
    </sheetView>
  </sheetViews>
  <sheetFormatPr baseColWidth="10" defaultRowHeight="16"/>
  <sheetData>
    <row r="1" spans="1:3">
      <c r="A1" t="s">
        <v>2</v>
      </c>
      <c r="B1" t="s">
        <v>3</v>
      </c>
      <c r="C1" t="s">
        <v>35</v>
      </c>
    </row>
    <row r="2" spans="1:3">
      <c r="A2" t="s">
        <v>12</v>
      </c>
      <c r="B2" t="s">
        <v>13</v>
      </c>
      <c r="C2">
        <v>1200</v>
      </c>
    </row>
    <row r="3" spans="1:3">
      <c r="A3" t="s">
        <v>17</v>
      </c>
      <c r="B3" t="s">
        <v>13</v>
      </c>
      <c r="C3">
        <v>350</v>
      </c>
    </row>
    <row r="4" spans="1:3">
      <c r="A4" t="s">
        <v>23</v>
      </c>
      <c r="B4" t="s">
        <v>24</v>
      </c>
      <c r="C4">
        <v>280</v>
      </c>
    </row>
    <row r="5" spans="1:3">
      <c r="A5" t="s">
        <v>26</v>
      </c>
      <c r="B5" t="s">
        <v>13</v>
      </c>
      <c r="C5">
        <v>75</v>
      </c>
    </row>
    <row r="6" spans="1:3">
      <c r="A6" t="s">
        <v>27</v>
      </c>
      <c r="B6" t="s">
        <v>24</v>
      </c>
      <c r="C6">
        <v>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67A1-FC00-FB40-A07D-884137D643E8}">
  <dimension ref="A1:N40"/>
  <sheetViews>
    <sheetView tabSelected="1" workbookViewId="0">
      <selection activeCell="G37" sqref="G36:G37"/>
    </sheetView>
  </sheetViews>
  <sheetFormatPr baseColWidth="10" defaultRowHeight="16"/>
  <cols>
    <col min="1" max="1" width="13" customWidth="1"/>
    <col min="3" max="3" width="12.5" bestFit="1" customWidth="1"/>
    <col min="5" max="5" width="17" customWidth="1"/>
    <col min="7" max="7" width="19" customWidth="1"/>
  </cols>
  <sheetData>
    <row r="1" spans="1:7" ht="22">
      <c r="A1" s="8" t="s">
        <v>47</v>
      </c>
      <c r="B1" s="9"/>
      <c r="C1" s="9"/>
      <c r="D1" s="9"/>
      <c r="E1" s="9"/>
      <c r="F1" s="9"/>
      <c r="G1" s="10"/>
    </row>
    <row r="3" spans="1:7">
      <c r="A3" s="4" t="s">
        <v>33</v>
      </c>
      <c r="C3" s="6" t="s">
        <v>48</v>
      </c>
      <c r="E3" s="6" t="s">
        <v>49</v>
      </c>
      <c r="G3" s="6" t="s">
        <v>34</v>
      </c>
    </row>
    <row r="4" spans="1:7">
      <c r="A4" s="5">
        <f>SUM('Sales Data'!I2:I6)</f>
        <v>8120</v>
      </c>
      <c r="C4" s="5">
        <f>SUM('Sales Data'!K2:K6)</f>
        <v>2920</v>
      </c>
      <c r="E4" s="7">
        <f>SUM('Sales Data'!G2:G6)</f>
        <v>24</v>
      </c>
      <c r="G4" s="5">
        <f>AVERAGE('Sales Data'!I2:I6)</f>
        <v>1624</v>
      </c>
    </row>
    <row r="40" spans="14:14">
      <c r="N40" t="s">
        <v>50</v>
      </c>
    </row>
  </sheetData>
  <mergeCells count="1">
    <mergeCell ref="A1:F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BF1253-35CF-4445-8A08-6E005E3B6F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sales_import</vt:lpstr>
      <vt:lpstr>Sales Data</vt:lpstr>
      <vt:lpstr>Products</vt:lpstr>
      <vt:lpstr>Dashboard</vt:lpstr>
      <vt:lpstr>RevenueRange</vt:lpstr>
      <vt:lpstr>TotalRevenue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Ercan Hofmann</dc:creator>
  <cp:lastModifiedBy>Ercan Hofmann</cp:lastModifiedBy>
  <dcterms:created xsi:type="dcterms:W3CDTF">2026-08-25T12:17:39Z</dcterms:created>
  <dcterms:modified xsi:type="dcterms:W3CDTF">2026-09-25T01:12:54Z</dcterms:modified>
</cp:coreProperties>
</file>